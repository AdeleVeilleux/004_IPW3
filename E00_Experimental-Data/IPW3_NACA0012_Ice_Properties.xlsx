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zoros/Documents/IPW3/Final-Experimental-Data/"/>
    </mc:Choice>
  </mc:AlternateContent>
  <xr:revisionPtr revIDLastSave="0" documentId="13_ncr:1_{EF90A312-EA7C-E448-9AF3-4B75971910BE}" xr6:coauthVersionLast="47" xr6:coauthVersionMax="47" xr10:uidLastSave="{00000000-0000-0000-0000-000000000000}"/>
  <bookViews>
    <workbookView xWindow="0" yWindow="660" windowWidth="34560" windowHeight="20180" xr2:uid="{D56C1247-1D96-427F-A35B-890D464E61CD}"/>
  </bookViews>
  <sheets>
    <sheet name="Formatted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J4" i="2" s="1"/>
  <c r="F4" i="2"/>
  <c r="I4" i="2"/>
  <c r="K4" i="2"/>
  <c r="I5" i="2"/>
  <c r="J5" i="2"/>
  <c r="K5" i="2"/>
  <c r="H5" i="2"/>
  <c r="H4" i="2"/>
  <c r="E5" i="2"/>
  <c r="F5" i="2"/>
  <c r="D5" i="2"/>
</calcChain>
</file>

<file path=xl/sharedStrings.xml><?xml version="1.0" encoding="utf-8"?>
<sst xmlns="http://schemas.openxmlformats.org/spreadsheetml/2006/main" count="15" uniqueCount="15">
  <si>
    <t>Run</t>
  </si>
  <si>
    <t>AE3932</t>
  </si>
  <si>
    <t>AE3933</t>
  </si>
  <si>
    <t>Ice Mass (g)</t>
  </si>
  <si>
    <t>Scaned Ice Volume (in^3)</t>
  </si>
  <si>
    <t>MinCCS Bulk Density (kg/m^3)</t>
  </si>
  <si>
    <t>MeanCCS Bulk Density (kg/m^3)</t>
  </si>
  <si>
    <t>MaxCCS Bulk Density (kg/m^3)</t>
  </si>
  <si>
    <t>Scanned Bulk Density (kg/m3)</t>
  </si>
  <si>
    <t>MaxCCS Bulk Volume (in^3)</t>
  </si>
  <si>
    <t>MeanCCS Bulk Volume (in^3)</t>
  </si>
  <si>
    <t>MinCCS Bulk Volume (in^3)</t>
  </si>
  <si>
    <t>Laser Scanned Based</t>
  </si>
  <si>
    <t>Considered a Bulk Density not a 'true' density</t>
  </si>
  <si>
    <t>2D CCS Profile Area * Extraction Width (8-inches)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</si>
</sst>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160D-1BBE-C34F-B134-B1F0D15A23C1}">
  <dimension ref="B2:K5"/>
  <sheetViews>
    <sheetView tabSelected="1" workbookViewId="0">
      <selection activeCell="D12" sqref="D12"/>
    </sheetView>
  </sheetViews>
  <sheetFormatPr baseColWidth="10" defaultRowHeight="15" x14ac:dyDescent="0.2"/>
  <cols>
    <col min="2" max="2" width="14" customWidth="1"/>
    <col min="3" max="3" width="21.6640625" customWidth="1"/>
    <col min="4" max="6" width="23.83203125" customWidth="1"/>
    <col min="7" max="7" width="21.6640625" customWidth="1"/>
    <col min="8" max="11" width="25.1640625" customWidth="1"/>
  </cols>
  <sheetData>
    <row r="2" spans="2:11" ht="19" customHeight="1" x14ac:dyDescent="0.2">
      <c r="B2" s="1"/>
      <c r="C2" s="1" t="s">
        <v>12</v>
      </c>
      <c r="D2" s="2" t="s">
        <v>14</v>
      </c>
      <c r="E2" s="2"/>
      <c r="F2" s="2"/>
      <c r="G2" s="1"/>
      <c r="H2" s="2" t="s">
        <v>13</v>
      </c>
      <c r="I2" s="2"/>
      <c r="J2" s="2"/>
      <c r="K2" s="2"/>
    </row>
    <row r="3" spans="2:11" ht="19" customHeight="1" x14ac:dyDescent="0.2">
      <c r="B3" s="1" t="s">
        <v>0</v>
      </c>
      <c r="C3" s="1" t="s">
        <v>4</v>
      </c>
      <c r="D3" s="1" t="s">
        <v>9</v>
      </c>
      <c r="E3" s="1" t="s">
        <v>10</v>
      </c>
      <c r="F3" s="1" t="s">
        <v>11</v>
      </c>
      <c r="G3" s="1" t="s">
        <v>3</v>
      </c>
      <c r="H3" s="1" t="s">
        <v>8</v>
      </c>
      <c r="I3" s="1" t="s">
        <v>7</v>
      </c>
      <c r="J3" s="1" t="s">
        <v>6</v>
      </c>
      <c r="K3" s="1" t="s">
        <v>5</v>
      </c>
    </row>
    <row r="4" spans="2:11" ht="19" customHeight="1" x14ac:dyDescent="0.2">
      <c r="B4" s="1" t="s">
        <v>1</v>
      </c>
      <c r="C4" s="3">
        <v>10.119999999999997</v>
      </c>
      <c r="D4" s="4">
        <f>2.5992*8</f>
        <v>20.793600000000001</v>
      </c>
      <c r="E4" s="4">
        <f>1.31162*8</f>
        <v>10.49296</v>
      </c>
      <c r="F4" s="4">
        <f>0.62812*8</f>
        <v>5.0249600000000001</v>
      </c>
      <c r="G4" s="5">
        <v>101</v>
      </c>
      <c r="H4" s="6">
        <f>($G$4/1000)/(C4/61020)</f>
        <v>608.99407114624535</v>
      </c>
      <c r="I4" s="6">
        <f t="shared" ref="I4:K4" si="0">($G$4/1000)/(D4/61020)</f>
        <v>296.39023545706368</v>
      </c>
      <c r="J4" s="6">
        <f t="shared" si="0"/>
        <v>587.34808862322939</v>
      </c>
      <c r="K4" s="6">
        <f t="shared" si="0"/>
        <v>1226.481404827103</v>
      </c>
    </row>
    <row r="5" spans="2:11" ht="19" customHeight="1" x14ac:dyDescent="0.2">
      <c r="B5" s="1" t="s">
        <v>2</v>
      </c>
      <c r="C5" s="3">
        <v>7.5800000000000054</v>
      </c>
      <c r="D5" s="4">
        <f>2.1266*8</f>
        <v>17.012799999999999</v>
      </c>
      <c r="E5" s="4">
        <f>1.06458*8</f>
        <v>8.5166400000000007</v>
      </c>
      <c r="F5" s="4">
        <f>0.45857*8</f>
        <v>3.6685599999999998</v>
      </c>
      <c r="G5" s="5">
        <v>85.9</v>
      </c>
      <c r="H5" s="6">
        <f>($G$5/1000)/(C5/61020)</f>
        <v>691.50633245382539</v>
      </c>
      <c r="I5" s="6">
        <f t="shared" ref="I5:K5" si="1">($G$5/1000)/(D5/61020)</f>
        <v>308.09849054829311</v>
      </c>
      <c r="J5" s="6">
        <f t="shared" si="1"/>
        <v>615.45609536155098</v>
      </c>
      <c r="K5" s="6">
        <f t="shared" si="1"/>
        <v>1428.794404343939</v>
      </c>
    </row>
  </sheetData>
  <mergeCells count="2">
    <mergeCell ref="D2:F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</vt:lpstr>
    </vt:vector>
  </TitlesOfParts>
  <Company>NASA OCIO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(GRC-LTI0)[HX5, LLC]</dc:creator>
  <cp:lastModifiedBy>Ozoroski, Thomas A. (GRC-LTI0)</cp:lastModifiedBy>
  <dcterms:created xsi:type="dcterms:W3CDTF">2026-05-26T23:30:32Z</dcterms:created>
  <dcterms:modified xsi:type="dcterms:W3CDTF">2026-09-09T15:28:36Z</dcterms:modified>
</cp:coreProperties>
</file>